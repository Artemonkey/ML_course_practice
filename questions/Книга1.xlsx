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ambu/Учеба/ML_course_practice/questions/"/>
    </mc:Choice>
  </mc:AlternateContent>
  <xr:revisionPtr revIDLastSave="0" documentId="13_ncr:1_{2B4BA143-6901-5843-A01B-F36140F9FD84}" xr6:coauthVersionLast="47" xr6:coauthVersionMax="47" xr10:uidLastSave="{00000000-0000-0000-0000-000000000000}"/>
  <bookViews>
    <workbookView xWindow="0" yWindow="680" windowWidth="17120" windowHeight="19640" xr2:uid="{47A78976-6853-174C-886D-02E75BAD464D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11" i="1" l="1"/>
  <c r="D111" i="1"/>
  <c r="B111" i="1"/>
  <c r="C103" i="1"/>
  <c r="D103" i="1"/>
  <c r="B103" i="1"/>
  <c r="B104" i="1" s="1"/>
  <c r="D112" i="1"/>
  <c r="D113" i="1" s="1"/>
  <c r="C112" i="1"/>
  <c r="C113" i="1" s="1"/>
  <c r="D104" i="1"/>
  <c r="D105" i="1" s="1"/>
  <c r="C104" i="1"/>
  <c r="C105" i="1" s="1"/>
  <c r="C95" i="1"/>
  <c r="D95" i="1"/>
  <c r="B95" i="1"/>
  <c r="B96" i="1" s="1"/>
  <c r="D96" i="1"/>
  <c r="D97" i="1" s="1"/>
  <c r="C96" i="1"/>
  <c r="C97" i="1" s="1"/>
  <c r="C79" i="1"/>
  <c r="C80" i="1" s="1"/>
  <c r="C81" i="1" s="1"/>
  <c r="D79" i="1"/>
  <c r="D80" i="1" s="1"/>
  <c r="D81" i="1" s="1"/>
  <c r="E79" i="1"/>
  <c r="E80" i="1" s="1"/>
  <c r="E81" i="1" s="1"/>
  <c r="B79" i="1"/>
  <c r="B80" i="1" s="1"/>
  <c r="B72" i="1"/>
  <c r="B71" i="1"/>
  <c r="B70" i="1"/>
  <c r="B69" i="1"/>
  <c r="B51" i="1"/>
  <c r="B54" i="1" s="1"/>
  <c r="B58" i="1" s="1"/>
  <c r="E37" i="1"/>
  <c r="E38" i="1"/>
  <c r="E39" i="1"/>
  <c r="E36" i="1"/>
  <c r="G23" i="1"/>
  <c r="C28" i="1" s="1"/>
  <c r="G4" i="1"/>
  <c r="G5" i="1"/>
  <c r="D6" i="1"/>
  <c r="G6" i="1" s="1"/>
  <c r="D3" i="1"/>
  <c r="G3" i="1" s="1"/>
  <c r="C10" i="1"/>
  <c r="B10" i="1"/>
  <c r="F4" i="1" s="1"/>
  <c r="H4" i="1" s="1"/>
  <c r="E4" i="1"/>
  <c r="E5" i="1"/>
  <c r="E3" i="1"/>
  <c r="D4" i="1"/>
  <c r="D5" i="1"/>
  <c r="D9" i="1" s="1"/>
  <c r="D7" i="1"/>
  <c r="G7" i="1" s="1"/>
  <c r="D8" i="1"/>
  <c r="G8" i="1" s="1"/>
  <c r="C9" i="1"/>
  <c r="B9" i="1"/>
  <c r="B112" i="1" l="1"/>
  <c r="B115" i="1"/>
  <c r="H112" i="1" s="1"/>
  <c r="B113" i="1"/>
  <c r="B114" i="1" s="1"/>
  <c r="G112" i="1" s="1"/>
  <c r="I112" i="1"/>
  <c r="B107" i="1"/>
  <c r="H104" i="1" s="1"/>
  <c r="B105" i="1"/>
  <c r="B106" i="1" s="1"/>
  <c r="G104" i="1" s="1"/>
  <c r="I104" i="1"/>
  <c r="I96" i="1"/>
  <c r="B81" i="1"/>
  <c r="B82" i="1" s="1"/>
  <c r="G77" i="1" s="1"/>
  <c r="I77" i="1"/>
  <c r="B83" i="1"/>
  <c r="H77" i="1" s="1"/>
  <c r="E8" i="1"/>
  <c r="E7" i="1"/>
  <c r="E6" i="1"/>
  <c r="E9" i="1" s="1"/>
  <c r="B16" i="1" s="1"/>
  <c r="D10" i="1"/>
  <c r="B99" i="1"/>
  <c r="H96" i="1" s="1"/>
  <c r="B97" i="1"/>
  <c r="B98" i="1" s="1"/>
  <c r="G96" i="1" s="1"/>
  <c r="G9" i="1"/>
  <c r="G10" i="1"/>
  <c r="B57" i="1"/>
  <c r="B28" i="1"/>
  <c r="D28" i="1"/>
  <c r="F6" i="1"/>
  <c r="H6" i="1" s="1"/>
  <c r="F3" i="1"/>
  <c r="F7" i="1"/>
  <c r="H7" i="1" s="1"/>
  <c r="F5" i="1"/>
  <c r="H5" i="1" s="1"/>
  <c r="F8" i="1"/>
  <c r="H8" i="1" s="1"/>
  <c r="B17" i="1" l="1"/>
  <c r="E10" i="1"/>
  <c r="H3" i="1"/>
  <c r="F10" i="1"/>
  <c r="B15" i="1"/>
  <c r="F9" i="1"/>
  <c r="H9" i="1" l="1"/>
  <c r="B18" i="1" s="1"/>
  <c r="H10" i="1"/>
</calcChain>
</file>

<file path=xl/sharedStrings.xml><?xml version="1.0" encoding="utf-8"?>
<sst xmlns="http://schemas.openxmlformats.org/spreadsheetml/2006/main" count="101" uniqueCount="57">
  <si>
    <t>y_реальный</t>
  </si>
  <si>
    <t>y_предсказанный</t>
  </si>
  <si>
    <t>MSE</t>
  </si>
  <si>
    <t>MAE</t>
  </si>
  <si>
    <t>MaxError</t>
  </si>
  <si>
    <t>r^2</t>
  </si>
  <si>
    <t>сумма</t>
  </si>
  <si>
    <t>среднее</t>
  </si>
  <si>
    <t>yr - y n</t>
  </si>
  <si>
    <t>n</t>
  </si>
  <si>
    <t>absyr - y n</t>
  </si>
  <si>
    <t>у_r-y_ср</t>
  </si>
  <si>
    <t>yr - y n в квадрате</t>
  </si>
  <si>
    <t>у_r-y_ср в квадрате</t>
  </si>
  <si>
    <t>w1</t>
  </si>
  <si>
    <t>w2</t>
  </si>
  <si>
    <t>w3</t>
  </si>
  <si>
    <t>grad</t>
  </si>
  <si>
    <t>new</t>
  </si>
  <si>
    <t>current</t>
  </si>
  <si>
    <t>n_</t>
  </si>
  <si>
    <t>b0</t>
  </si>
  <si>
    <t>x1</t>
  </si>
  <si>
    <t>x2</t>
  </si>
  <si>
    <t>x3</t>
  </si>
  <si>
    <t>b1</t>
  </si>
  <si>
    <t>b2</t>
  </si>
  <si>
    <t>b3</t>
  </si>
  <si>
    <t>4 test</t>
  </si>
  <si>
    <t>3 test</t>
  </si>
  <si>
    <t>decision making parameter</t>
  </si>
  <si>
    <t>logit</t>
  </si>
  <si>
    <t>binary-cross-entropy</t>
  </si>
  <si>
    <t>acc</t>
  </si>
  <si>
    <t>precision</t>
  </si>
  <si>
    <t>recall</t>
  </si>
  <si>
    <t>specifity</t>
  </si>
  <si>
    <t>TRUE</t>
  </si>
  <si>
    <t>FALSE</t>
  </si>
  <si>
    <t>5 test</t>
  </si>
  <si>
    <t>a</t>
  </si>
  <si>
    <t>b</t>
  </si>
  <si>
    <t>x4</t>
  </si>
  <si>
    <t>Евклидово</t>
  </si>
  <si>
    <t>Манхеттен</t>
  </si>
  <si>
    <t>Чебышева</t>
  </si>
  <si>
    <t>разность</t>
  </si>
  <si>
    <t>сумма модулей кв разностей</t>
  </si>
  <si>
    <t>модуль разности</t>
  </si>
  <si>
    <t>квадрат модуля разностей</t>
  </si>
  <si>
    <t>сумма модулей разности</t>
  </si>
  <si>
    <t>C1</t>
  </si>
  <si>
    <t>C2</t>
  </si>
  <si>
    <t>C3</t>
  </si>
  <si>
    <t>а</t>
  </si>
  <si>
    <t>С2</t>
  </si>
  <si>
    <t>С3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</si>
</sst>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charset val="204"/>
      <scheme val="minor"/>
    </font>
    <font>
      <sz val="12"/>
      <color theme="1"/>
      <name val="Arial"/>
      <family val="2"/>
    </font>
    <font>
      <b/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2" fontId="0" fillId="0" borderId="0" xfId="0" applyNumberFormat="1"/>
    <xf numFmtId="2" fontId="0" fillId="0" borderId="1" xfId="0" applyNumberFormat="1" applyBorder="1"/>
    <xf numFmtId="0" fontId="0" fillId="0" borderId="2" xfId="0" applyBorder="1"/>
    <xf numFmtId="0" fontId="0" fillId="0" borderId="1" xfId="0" applyFill="1" applyBorder="1"/>
    <xf numFmtId="0" fontId="1" fillId="0" borderId="0" xfId="0" applyFont="1"/>
    <xf numFmtId="2" fontId="1" fillId="0" borderId="0" xfId="0" applyNumberFormat="1" applyFont="1"/>
    <xf numFmtId="0" fontId="0" fillId="2" borderId="0" xfId="0" applyFill="1"/>
    <xf numFmtId="0" fontId="2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41519-94D9-BB4D-A124-1745548B62B4}">
  <dimension ref="A1:I115"/>
  <sheetViews>
    <sheetView tabSelected="1" topLeftCell="A83" workbookViewId="0">
      <selection activeCell="H97" sqref="H97"/>
    </sheetView>
  </sheetViews>
  <sheetFormatPr baseColWidth="10" defaultRowHeight="16" x14ac:dyDescent="0.2"/>
  <cols>
    <col min="3" max="3" width="16" bestFit="1" customWidth="1"/>
    <col min="7" max="7" width="15.5" bestFit="1" customWidth="1"/>
    <col min="8" max="8" width="17.1640625" bestFit="1" customWidth="1"/>
  </cols>
  <sheetData>
    <row r="1" spans="1:8" x14ac:dyDescent="0.2">
      <c r="A1" s="9" t="s">
        <v>29</v>
      </c>
      <c r="B1" s="9">
        <v>5</v>
      </c>
    </row>
    <row r="2" spans="1:8" x14ac:dyDescent="0.2">
      <c r="B2" s="1" t="s">
        <v>0</v>
      </c>
      <c r="C2" s="1" t="s">
        <v>1</v>
      </c>
      <c r="D2" s="1" t="s">
        <v>8</v>
      </c>
      <c r="E2" s="1" t="s">
        <v>10</v>
      </c>
      <c r="F2" s="1" t="s">
        <v>11</v>
      </c>
      <c r="G2" s="1" t="s">
        <v>12</v>
      </c>
      <c r="H2" s="5" t="s">
        <v>13</v>
      </c>
    </row>
    <row r="3" spans="1:8" x14ac:dyDescent="0.2">
      <c r="B3" s="1">
        <v>4</v>
      </c>
      <c r="C3" s="1">
        <v>5</v>
      </c>
      <c r="D3" s="1">
        <f>B3-C3</f>
        <v>-1</v>
      </c>
      <c r="E3" s="1">
        <f>ABS(D3)</f>
        <v>1</v>
      </c>
      <c r="F3" s="1">
        <f>B3-$B$10</f>
        <v>-1.666666666666667</v>
      </c>
      <c r="G3" s="1">
        <f>D3^2</f>
        <v>1</v>
      </c>
      <c r="H3" s="1">
        <f>F3^2</f>
        <v>2.7777777777777786</v>
      </c>
    </row>
    <row r="4" spans="1:8" x14ac:dyDescent="0.2">
      <c r="B4" s="1">
        <v>3</v>
      </c>
      <c r="C4" s="1">
        <v>4</v>
      </c>
      <c r="D4" s="1">
        <f t="shared" ref="D4:D8" si="0">B4-C4</f>
        <v>-1</v>
      </c>
      <c r="E4" s="1">
        <f t="shared" ref="E4:E10" si="1">ABS(D4)</f>
        <v>1</v>
      </c>
      <c r="F4" s="1">
        <f t="shared" ref="F4:F8" si="2">B4-$B$10</f>
        <v>-2.666666666666667</v>
      </c>
      <c r="G4" s="1">
        <f t="shared" ref="G4:G8" si="3">D4^2</f>
        <v>1</v>
      </c>
      <c r="H4" s="1">
        <f t="shared" ref="H4:H8" si="4">F4^2</f>
        <v>7.1111111111111125</v>
      </c>
    </row>
    <row r="5" spans="1:8" x14ac:dyDescent="0.2">
      <c r="B5" s="1">
        <v>3</v>
      </c>
      <c r="C5" s="1">
        <v>5</v>
      </c>
      <c r="D5" s="1">
        <f t="shared" si="0"/>
        <v>-2</v>
      </c>
      <c r="E5" s="1">
        <f t="shared" si="1"/>
        <v>2</v>
      </c>
      <c r="F5" s="1">
        <f t="shared" si="2"/>
        <v>-2.666666666666667</v>
      </c>
      <c r="G5" s="1">
        <f t="shared" si="3"/>
        <v>4</v>
      </c>
      <c r="H5" s="1">
        <f t="shared" si="4"/>
        <v>7.1111111111111125</v>
      </c>
    </row>
    <row r="6" spans="1:8" x14ac:dyDescent="0.2">
      <c r="B6" s="1">
        <v>10</v>
      </c>
      <c r="C6" s="1">
        <v>12</v>
      </c>
      <c r="D6" s="1">
        <f>B6-C6</f>
        <v>-2</v>
      </c>
      <c r="E6" s="1">
        <f t="shared" si="1"/>
        <v>2</v>
      </c>
      <c r="F6" s="1">
        <f t="shared" si="2"/>
        <v>4.333333333333333</v>
      </c>
      <c r="G6" s="1">
        <f t="shared" si="3"/>
        <v>4</v>
      </c>
      <c r="H6" s="1">
        <f t="shared" si="4"/>
        <v>18.777777777777775</v>
      </c>
    </row>
    <row r="7" spans="1:8" x14ac:dyDescent="0.2">
      <c r="B7" s="1">
        <v>6</v>
      </c>
      <c r="C7" s="1">
        <v>5</v>
      </c>
      <c r="D7" s="1">
        <f t="shared" si="0"/>
        <v>1</v>
      </c>
      <c r="E7" s="1">
        <f t="shared" si="1"/>
        <v>1</v>
      </c>
      <c r="F7" s="1">
        <f t="shared" si="2"/>
        <v>0.33333333333333304</v>
      </c>
      <c r="G7" s="1">
        <f t="shared" si="3"/>
        <v>1</v>
      </c>
      <c r="H7" s="1">
        <f t="shared" si="4"/>
        <v>0.11111111111111091</v>
      </c>
    </row>
    <row r="8" spans="1:8" x14ac:dyDescent="0.2">
      <c r="B8" s="4">
        <v>8</v>
      </c>
      <c r="C8" s="4">
        <v>8</v>
      </c>
      <c r="D8" s="4">
        <f t="shared" si="0"/>
        <v>0</v>
      </c>
      <c r="E8" s="4">
        <f t="shared" si="1"/>
        <v>0</v>
      </c>
      <c r="F8" s="4">
        <f t="shared" si="2"/>
        <v>2.333333333333333</v>
      </c>
      <c r="G8" s="1">
        <f t="shared" si="3"/>
        <v>0</v>
      </c>
      <c r="H8" s="1">
        <f t="shared" si="4"/>
        <v>5.4444444444444429</v>
      </c>
    </row>
    <row r="9" spans="1:8" x14ac:dyDescent="0.2">
      <c r="A9" s="1" t="s">
        <v>6</v>
      </c>
      <c r="B9" s="1">
        <f>SUM(B3:B8)</f>
        <v>34</v>
      </c>
      <c r="C9" s="1">
        <f>SUM(C3:C8)</f>
        <v>39</v>
      </c>
      <c r="D9" s="1">
        <f>SUM(D3:D8)</f>
        <v>-5</v>
      </c>
      <c r="E9" s="1">
        <f>SUM(E3:E8)</f>
        <v>7</v>
      </c>
      <c r="F9" s="1">
        <f>SUM(F3:F8)</f>
        <v>0</v>
      </c>
      <c r="G9" s="1">
        <f t="shared" ref="G9:H9" si="5">SUM(G3:G8)</f>
        <v>11</v>
      </c>
      <c r="H9" s="1">
        <f t="shared" si="5"/>
        <v>41.333333333333336</v>
      </c>
    </row>
    <row r="10" spans="1:8" x14ac:dyDescent="0.2">
      <c r="A10" s="1" t="s">
        <v>7</v>
      </c>
      <c r="B10" s="1">
        <f>AVERAGE(B3:B8)</f>
        <v>5.666666666666667</v>
      </c>
      <c r="C10" s="1">
        <f t="shared" ref="C10:F10" si="6">AVERAGE(C3:C8)</f>
        <v>6.5</v>
      </c>
      <c r="D10" s="1">
        <f t="shared" si="6"/>
        <v>-0.83333333333333337</v>
      </c>
      <c r="E10" s="1">
        <f t="shared" si="6"/>
        <v>1.1666666666666667</v>
      </c>
      <c r="F10" s="1">
        <f t="shared" si="6"/>
        <v>0</v>
      </c>
      <c r="G10" s="1">
        <f t="shared" ref="G10:H10" si="7">AVERAGE(G3:G8)</f>
        <v>1.8333333333333333</v>
      </c>
      <c r="H10" s="1">
        <f t="shared" si="7"/>
        <v>6.8888888888888893</v>
      </c>
    </row>
    <row r="12" spans="1:8" x14ac:dyDescent="0.2">
      <c r="A12" t="s">
        <v>9</v>
      </c>
      <c r="B12">
        <v>6</v>
      </c>
    </row>
    <row r="15" spans="1:8" x14ac:dyDescent="0.2">
      <c r="A15" s="1" t="s">
        <v>2</v>
      </c>
      <c r="B15" s="1">
        <f>G9/B12</f>
        <v>1.8333333333333333</v>
      </c>
    </row>
    <row r="16" spans="1:8" x14ac:dyDescent="0.2">
      <c r="A16" s="1" t="s">
        <v>3</v>
      </c>
      <c r="B16" s="1">
        <f>E9/B12</f>
        <v>1.1666666666666667</v>
      </c>
    </row>
    <row r="17" spans="1:7" x14ac:dyDescent="0.2">
      <c r="A17" s="1" t="s">
        <v>4</v>
      </c>
      <c r="B17" s="1">
        <f>MAX(E3:E8)</f>
        <v>2</v>
      </c>
    </row>
    <row r="18" spans="1:7" x14ac:dyDescent="0.2">
      <c r="A18" s="1" t="s">
        <v>5</v>
      </c>
      <c r="B18" s="1">
        <f>1-G9/H9</f>
        <v>0.7338709677419355</v>
      </c>
    </row>
    <row r="22" spans="1:7" x14ac:dyDescent="0.2">
      <c r="B22" s="9">
        <v>7</v>
      </c>
    </row>
    <row r="23" spans="1:7" x14ac:dyDescent="0.2">
      <c r="A23" s="1" t="s">
        <v>19</v>
      </c>
      <c r="B23" s="1" t="s">
        <v>14</v>
      </c>
      <c r="C23" s="1" t="s">
        <v>15</v>
      </c>
      <c r="D23" s="1" t="s">
        <v>16</v>
      </c>
      <c r="F23" s="1" t="s">
        <v>20</v>
      </c>
      <c r="G23" s="1">
        <f>0.15</f>
        <v>0.15</v>
      </c>
    </row>
    <row r="24" spans="1:7" x14ac:dyDescent="0.2">
      <c r="A24" s="1"/>
      <c r="B24" s="1">
        <v>-1.2</v>
      </c>
      <c r="C24" s="1">
        <v>-1.6</v>
      </c>
      <c r="D24" s="3">
        <v>2.4</v>
      </c>
    </row>
    <row r="25" spans="1:7" x14ac:dyDescent="0.2">
      <c r="A25" s="1" t="s">
        <v>17</v>
      </c>
      <c r="B25" s="1" t="s">
        <v>14</v>
      </c>
      <c r="C25" s="1" t="s">
        <v>15</v>
      </c>
      <c r="D25" s="1" t="s">
        <v>16</v>
      </c>
    </row>
    <row r="26" spans="1:7" x14ac:dyDescent="0.2">
      <c r="A26" s="1"/>
      <c r="B26" s="1">
        <v>0.44</v>
      </c>
      <c r="C26" s="1">
        <v>-0.56000000000000005</v>
      </c>
      <c r="D26" s="1">
        <v>0.08</v>
      </c>
    </row>
    <row r="27" spans="1:7" x14ac:dyDescent="0.2">
      <c r="A27" s="1" t="s">
        <v>18</v>
      </c>
      <c r="B27" s="1" t="s">
        <v>14</v>
      </c>
      <c r="C27" s="1" t="s">
        <v>15</v>
      </c>
      <c r="D27" s="1" t="s">
        <v>16</v>
      </c>
    </row>
    <row r="28" spans="1:7" x14ac:dyDescent="0.2">
      <c r="A28" s="1"/>
      <c r="B28" s="1">
        <f>B24-$G$23*B26</f>
        <v>-1.266</v>
      </c>
      <c r="C28" s="1">
        <f t="shared" ref="C28:D28" si="8">C24-$G$23*C26</f>
        <v>-1.516</v>
      </c>
      <c r="D28" s="1">
        <f t="shared" si="8"/>
        <v>2.3879999999999999</v>
      </c>
    </row>
    <row r="31" spans="1:7" x14ac:dyDescent="0.2">
      <c r="B31" s="9">
        <v>9</v>
      </c>
    </row>
    <row r="32" spans="1:7" x14ac:dyDescent="0.2">
      <c r="B32" s="1" t="s">
        <v>21</v>
      </c>
      <c r="C32" s="1" t="s">
        <v>25</v>
      </c>
      <c r="D32" s="1" t="s">
        <v>26</v>
      </c>
      <c r="E32" s="1" t="s">
        <v>27</v>
      </c>
    </row>
    <row r="33" spans="1:7" x14ac:dyDescent="0.2">
      <c r="B33" s="1">
        <v>-0.4</v>
      </c>
      <c r="C33" s="1">
        <v>0.2</v>
      </c>
      <c r="D33" s="1">
        <v>0.2</v>
      </c>
      <c r="E33" s="1">
        <v>0.2</v>
      </c>
    </row>
    <row r="35" spans="1:7" x14ac:dyDescent="0.2">
      <c r="B35" s="1" t="s">
        <v>22</v>
      </c>
      <c r="C35" s="1" t="s">
        <v>23</v>
      </c>
      <c r="D35" s="1" t="s">
        <v>24</v>
      </c>
    </row>
    <row r="36" spans="1:7" x14ac:dyDescent="0.2">
      <c r="B36" s="1">
        <v>1</v>
      </c>
      <c r="C36" s="1">
        <v>14</v>
      </c>
      <c r="D36" s="1">
        <v>1</v>
      </c>
      <c r="E36">
        <f>$B$33+B36*$C$33+C36*$D$33+D36*$E$33</f>
        <v>2.8000000000000003</v>
      </c>
    </row>
    <row r="37" spans="1:7" x14ac:dyDescent="0.2">
      <c r="B37" s="1">
        <v>2</v>
      </c>
      <c r="C37" s="1">
        <v>12</v>
      </c>
      <c r="D37" s="1">
        <v>2</v>
      </c>
      <c r="E37">
        <f t="shared" ref="E37:E39" si="9">$B$33+B37*$C$33+C37*$D$33+D37*$E$33</f>
        <v>2.8000000000000003</v>
      </c>
    </row>
    <row r="38" spans="1:7" x14ac:dyDescent="0.2">
      <c r="B38" s="1">
        <v>2</v>
      </c>
      <c r="C38" s="1">
        <v>15</v>
      </c>
      <c r="D38" s="1">
        <v>-1</v>
      </c>
      <c r="E38">
        <f t="shared" si="9"/>
        <v>2.8</v>
      </c>
    </row>
    <row r="39" spans="1:7" x14ac:dyDescent="0.2">
      <c r="B39" s="1">
        <v>4</v>
      </c>
      <c r="C39" s="1">
        <v>11</v>
      </c>
      <c r="D39" s="1">
        <v>1</v>
      </c>
      <c r="E39">
        <f t="shared" si="9"/>
        <v>2.8000000000000003</v>
      </c>
    </row>
    <row r="42" spans="1:7" x14ac:dyDescent="0.2">
      <c r="A42" s="9" t="s">
        <v>28</v>
      </c>
      <c r="B42" s="9">
        <v>2</v>
      </c>
    </row>
    <row r="43" spans="1:7" x14ac:dyDescent="0.2">
      <c r="B43" s="1" t="s">
        <v>21</v>
      </c>
      <c r="C43" s="1" t="s">
        <v>25</v>
      </c>
      <c r="D43" s="1" t="s">
        <v>26</v>
      </c>
      <c r="F43" s="1"/>
      <c r="G43" s="1"/>
    </row>
    <row r="44" spans="1:7" x14ac:dyDescent="0.2">
      <c r="B44" s="1">
        <v>-3.2</v>
      </c>
      <c r="C44" s="1">
        <v>0.6</v>
      </c>
      <c r="D44" s="1">
        <v>-1.1000000000000001</v>
      </c>
      <c r="F44" s="1" t="s">
        <v>25</v>
      </c>
      <c r="G44" s="1">
        <v>0.6</v>
      </c>
    </row>
    <row r="45" spans="1:7" x14ac:dyDescent="0.2">
      <c r="F45" s="1" t="s">
        <v>26</v>
      </c>
      <c r="G45" s="1">
        <v>-1.1000000000000001</v>
      </c>
    </row>
    <row r="46" spans="1:7" x14ac:dyDescent="0.2">
      <c r="B46" s="1" t="s">
        <v>22</v>
      </c>
      <c r="C46" s="1" t="s">
        <v>23</v>
      </c>
    </row>
    <row r="47" spans="1:7" x14ac:dyDescent="0.2">
      <c r="B47" s="1">
        <v>1.9</v>
      </c>
      <c r="C47" s="1">
        <v>-0.9</v>
      </c>
    </row>
    <row r="50" spans="1:3" x14ac:dyDescent="0.2">
      <c r="B50" s="1" t="s">
        <v>30</v>
      </c>
    </row>
    <row r="51" spans="1:3" x14ac:dyDescent="0.2">
      <c r="B51" s="1">
        <f>B47*G44+C47*G45 +B44</f>
        <v>-1.0700000000000003</v>
      </c>
    </row>
    <row r="53" spans="1:3" x14ac:dyDescent="0.2">
      <c r="B53" s="1" t="s">
        <v>31</v>
      </c>
    </row>
    <row r="54" spans="1:3" x14ac:dyDescent="0.2">
      <c r="B54" s="1">
        <f>1/(1+EXP(-B51))</f>
        <v>0.255403084172524</v>
      </c>
    </row>
    <row r="56" spans="1:3" x14ac:dyDescent="0.2">
      <c r="B56" s="1" t="s">
        <v>32</v>
      </c>
    </row>
    <row r="57" spans="1:3" x14ac:dyDescent="0.2">
      <c r="A57" s="1">
        <v>0</v>
      </c>
      <c r="B57" s="1">
        <f>-1*A57*LN($B$54)+(1-A57)*LN(1-$B$54)</f>
        <v>-0.29491225960491108</v>
      </c>
    </row>
    <row r="58" spans="1:3" x14ac:dyDescent="0.2">
      <c r="A58" s="1">
        <v>1</v>
      </c>
      <c r="B58" s="1">
        <f>-1*A58*LN($B$54)+(1-A58)*LN(1-$B$54)</f>
        <v>1.3649122596049115</v>
      </c>
    </row>
    <row r="62" spans="1:3" x14ac:dyDescent="0.2">
      <c r="B62" s="9">
        <v>4</v>
      </c>
    </row>
    <row r="64" spans="1:3" x14ac:dyDescent="0.2">
      <c r="B64" t="s">
        <v>37</v>
      </c>
      <c r="C64" t="s">
        <v>38</v>
      </c>
    </row>
    <row r="65" spans="1:9" x14ac:dyDescent="0.2">
      <c r="B65">
        <v>1</v>
      </c>
      <c r="C65">
        <v>0</v>
      </c>
    </row>
    <row r="66" spans="1:9" x14ac:dyDescent="0.2">
      <c r="A66">
        <v>1</v>
      </c>
      <c r="B66">
        <v>107</v>
      </c>
      <c r="C66">
        <v>23</v>
      </c>
    </row>
    <row r="67" spans="1:9" x14ac:dyDescent="0.2">
      <c r="A67">
        <v>0</v>
      </c>
      <c r="B67">
        <v>33</v>
      </c>
      <c r="C67">
        <v>26</v>
      </c>
    </row>
    <row r="69" spans="1:9" x14ac:dyDescent="0.2">
      <c r="A69" t="s">
        <v>33</v>
      </c>
      <c r="B69">
        <f>(B66+C67)/(B66+C67+C66+B67)</f>
        <v>0.70370370370370372</v>
      </c>
    </row>
    <row r="70" spans="1:9" x14ac:dyDescent="0.2">
      <c r="A70" t="s">
        <v>34</v>
      </c>
      <c r="B70">
        <f>B66/(B66+C67)</f>
        <v>0.80451127819548873</v>
      </c>
    </row>
    <row r="71" spans="1:9" x14ac:dyDescent="0.2">
      <c r="A71" t="s">
        <v>35</v>
      </c>
      <c r="B71">
        <f>B66/(B67+B66)</f>
        <v>0.76428571428571423</v>
      </c>
    </row>
    <row r="72" spans="1:9" x14ac:dyDescent="0.2">
      <c r="A72" t="s">
        <v>36</v>
      </c>
      <c r="B72">
        <f>C67/(C67+C66)</f>
        <v>0.53061224489795922</v>
      </c>
    </row>
    <row r="75" spans="1:9" x14ac:dyDescent="0.2">
      <c r="A75" s="9" t="s">
        <v>39</v>
      </c>
      <c r="B75" s="9">
        <v>5</v>
      </c>
    </row>
    <row r="76" spans="1:9" x14ac:dyDescent="0.2">
      <c r="B76" t="s">
        <v>22</v>
      </c>
      <c r="C76" t="s">
        <v>23</v>
      </c>
      <c r="D76" t="s">
        <v>24</v>
      </c>
      <c r="E76" t="s">
        <v>42</v>
      </c>
      <c r="G76" t="s">
        <v>43</v>
      </c>
      <c r="H76" t="s">
        <v>44</v>
      </c>
      <c r="I76" t="s">
        <v>45</v>
      </c>
    </row>
    <row r="77" spans="1:9" x14ac:dyDescent="0.2">
      <c r="A77" t="s">
        <v>40</v>
      </c>
      <c r="B77" s="2">
        <v>2.7</v>
      </c>
      <c r="C77" s="2">
        <v>-1.2</v>
      </c>
      <c r="D77" s="2">
        <v>-2.2999999999999998</v>
      </c>
      <c r="E77" s="2">
        <v>1</v>
      </c>
      <c r="G77">
        <f>SQRT(B82)</f>
        <v>10.649882628461217</v>
      </c>
      <c r="H77">
        <f>B83</f>
        <v>20.8</v>
      </c>
      <c r="I77">
        <f>MAX(B80:E80)</f>
        <v>6.2</v>
      </c>
    </row>
    <row r="78" spans="1:9" x14ac:dyDescent="0.2">
      <c r="A78" t="s">
        <v>41</v>
      </c>
      <c r="B78" s="2">
        <v>-2.6</v>
      </c>
      <c r="C78" s="2">
        <v>5</v>
      </c>
      <c r="D78" s="2">
        <v>3.7</v>
      </c>
      <c r="E78" s="2">
        <v>4.3</v>
      </c>
    </row>
    <row r="79" spans="1:9" x14ac:dyDescent="0.2">
      <c r="A79" t="s">
        <v>46</v>
      </c>
      <c r="B79" s="2">
        <f>B77-B78</f>
        <v>5.3000000000000007</v>
      </c>
      <c r="C79" s="2">
        <f t="shared" ref="C79:E79" si="10">C77-C78</f>
        <v>-6.2</v>
      </c>
      <c r="D79" s="2">
        <f t="shared" si="10"/>
        <v>-6</v>
      </c>
      <c r="E79" s="2">
        <f t="shared" si="10"/>
        <v>-3.3</v>
      </c>
    </row>
    <row r="80" spans="1:9" x14ac:dyDescent="0.2">
      <c r="A80" t="s">
        <v>48</v>
      </c>
      <c r="B80">
        <f>ABS(B79)</f>
        <v>5.3000000000000007</v>
      </c>
      <c r="C80">
        <f t="shared" ref="C80:E80" si="11">ABS(C79)</f>
        <v>6.2</v>
      </c>
      <c r="D80">
        <f t="shared" si="11"/>
        <v>6</v>
      </c>
      <c r="E80">
        <f t="shared" si="11"/>
        <v>3.3</v>
      </c>
    </row>
    <row r="81" spans="1:9" x14ac:dyDescent="0.2">
      <c r="A81" t="s">
        <v>49</v>
      </c>
      <c r="B81">
        <f>B80^2</f>
        <v>28.090000000000007</v>
      </c>
      <c r="C81">
        <f t="shared" ref="C81:E81" si="12">C80^2</f>
        <v>38.440000000000005</v>
      </c>
      <c r="D81">
        <f t="shared" si="12"/>
        <v>36</v>
      </c>
      <c r="E81">
        <f t="shared" si="12"/>
        <v>10.889999999999999</v>
      </c>
    </row>
    <row r="82" spans="1:9" x14ac:dyDescent="0.2">
      <c r="A82" t="s">
        <v>47</v>
      </c>
      <c r="B82">
        <f>SUM(B81:E81)</f>
        <v>113.42000000000002</v>
      </c>
    </row>
    <row r="83" spans="1:9" x14ac:dyDescent="0.2">
      <c r="A83" t="s">
        <v>50</v>
      </c>
      <c r="B83">
        <f>SUM(B80:E80)</f>
        <v>20.8</v>
      </c>
    </row>
    <row r="85" spans="1:9" x14ac:dyDescent="0.2">
      <c r="B85" s="9">
        <v>6</v>
      </c>
    </row>
    <row r="86" spans="1:9" x14ac:dyDescent="0.2">
      <c r="A86" s="6"/>
      <c r="B86" s="6" t="s">
        <v>22</v>
      </c>
      <c r="C86" s="6" t="s">
        <v>23</v>
      </c>
      <c r="D86" s="6" t="s">
        <v>24</v>
      </c>
    </row>
    <row r="87" spans="1:9" x14ac:dyDescent="0.2">
      <c r="A87" s="6" t="s">
        <v>51</v>
      </c>
      <c r="B87" s="7">
        <v>4.0999999999999996</v>
      </c>
      <c r="C87" s="7">
        <v>-1.3</v>
      </c>
      <c r="D87" s="7">
        <v>-1.5</v>
      </c>
    </row>
    <row r="88" spans="1:9" x14ac:dyDescent="0.2">
      <c r="A88" s="6" t="s">
        <v>52</v>
      </c>
      <c r="B88" s="7">
        <v>2.2000000000000002</v>
      </c>
      <c r="C88" s="7">
        <v>7.1</v>
      </c>
      <c r="D88" s="7">
        <v>4.3</v>
      </c>
    </row>
    <row r="89" spans="1:9" x14ac:dyDescent="0.2">
      <c r="A89" s="6" t="s">
        <v>53</v>
      </c>
      <c r="B89" s="7">
        <v>-3.9</v>
      </c>
      <c r="C89" s="7">
        <v>-2.2999999999999998</v>
      </c>
      <c r="D89" s="7">
        <v>-4.9000000000000004</v>
      </c>
    </row>
    <row r="92" spans="1:9" x14ac:dyDescent="0.2">
      <c r="A92" s="6" t="s">
        <v>54</v>
      </c>
      <c r="B92" s="7">
        <v>2.6</v>
      </c>
      <c r="C92" s="7">
        <v>3.5</v>
      </c>
      <c r="D92" s="7">
        <v>-0.9</v>
      </c>
    </row>
    <row r="94" spans="1:9" x14ac:dyDescent="0.2">
      <c r="A94" s="6" t="s">
        <v>51</v>
      </c>
    </row>
    <row r="95" spans="1:9" x14ac:dyDescent="0.2">
      <c r="A95" t="s">
        <v>46</v>
      </c>
      <c r="B95" s="2">
        <f>B$92-B87</f>
        <v>-1.4999999999999996</v>
      </c>
      <c r="C95" s="2">
        <f t="shared" ref="C95:D95" si="13">C$92-C87</f>
        <v>4.8</v>
      </c>
      <c r="D95" s="2">
        <f t="shared" si="13"/>
        <v>0.6</v>
      </c>
      <c r="G95" t="s">
        <v>43</v>
      </c>
      <c r="H95" t="s">
        <v>44</v>
      </c>
      <c r="I95" t="s">
        <v>45</v>
      </c>
    </row>
    <row r="96" spans="1:9" x14ac:dyDescent="0.2">
      <c r="A96" t="s">
        <v>48</v>
      </c>
      <c r="B96">
        <f>ABS(B95)</f>
        <v>1.4999999999999996</v>
      </c>
      <c r="C96">
        <f t="shared" ref="C96" si="14">ABS(C95)</f>
        <v>4.8</v>
      </c>
      <c r="D96">
        <f t="shared" ref="D96" si="15">ABS(D95)</f>
        <v>0.6</v>
      </c>
      <c r="G96" s="8">
        <f>SQRT(B98)</f>
        <v>5.0645829048402398</v>
      </c>
      <c r="H96" s="8">
        <f>B99</f>
        <v>6.8999999999999986</v>
      </c>
      <c r="I96" s="8">
        <f>MAX(B96:D96)</f>
        <v>4.8</v>
      </c>
    </row>
    <row r="97" spans="1:9" x14ac:dyDescent="0.2">
      <c r="A97" t="s">
        <v>49</v>
      </c>
      <c r="B97">
        <f>B96^2</f>
        <v>2.2499999999999987</v>
      </c>
      <c r="C97">
        <f t="shared" ref="C97" si="16">C96^2</f>
        <v>23.04</v>
      </c>
      <c r="D97">
        <f t="shared" ref="D97" si="17">D96^2</f>
        <v>0.36</v>
      </c>
    </row>
    <row r="98" spans="1:9" x14ac:dyDescent="0.2">
      <c r="A98" t="s">
        <v>47</v>
      </c>
      <c r="B98">
        <f>SUM(B97:D97)</f>
        <v>25.65</v>
      </c>
    </row>
    <row r="99" spans="1:9" x14ac:dyDescent="0.2">
      <c r="A99" t="s">
        <v>50</v>
      </c>
      <c r="B99">
        <f>SUM(B96:D96)</f>
        <v>6.8999999999999986</v>
      </c>
    </row>
    <row r="102" spans="1:9" x14ac:dyDescent="0.2">
      <c r="A102" s="6" t="s">
        <v>55</v>
      </c>
    </row>
    <row r="103" spans="1:9" x14ac:dyDescent="0.2">
      <c r="A103" t="s">
        <v>46</v>
      </c>
      <c r="B103" s="2">
        <f>B$92-B88</f>
        <v>0.39999999999999991</v>
      </c>
      <c r="C103" s="2">
        <f t="shared" ref="C103:D103" si="18">C$92-C88</f>
        <v>-3.5999999999999996</v>
      </c>
      <c r="D103" s="2">
        <f t="shared" si="18"/>
        <v>-5.2</v>
      </c>
      <c r="G103" t="s">
        <v>43</v>
      </c>
      <c r="H103" t="s">
        <v>44</v>
      </c>
      <c r="I103" t="s">
        <v>45</v>
      </c>
    </row>
    <row r="104" spans="1:9" x14ac:dyDescent="0.2">
      <c r="A104" t="s">
        <v>48</v>
      </c>
      <c r="B104">
        <f>ABS(B103)</f>
        <v>0.39999999999999991</v>
      </c>
      <c r="C104">
        <f t="shared" ref="C104" si="19">ABS(C103)</f>
        <v>3.5999999999999996</v>
      </c>
      <c r="D104">
        <f t="shared" ref="D104" si="20">ABS(D103)</f>
        <v>5.2</v>
      </c>
      <c r="G104">
        <f>SQRT(B106)</f>
        <v>6.3371918071019433</v>
      </c>
      <c r="H104">
        <f>B107</f>
        <v>9.1999999999999993</v>
      </c>
      <c r="I104">
        <f>MAX(B104:D104)</f>
        <v>5.2</v>
      </c>
    </row>
    <row r="105" spans="1:9" x14ac:dyDescent="0.2">
      <c r="A105" t="s">
        <v>49</v>
      </c>
      <c r="B105">
        <f>B104^2</f>
        <v>0.15999999999999992</v>
      </c>
      <c r="C105">
        <f t="shared" ref="C105" si="21">C104^2</f>
        <v>12.959999999999997</v>
      </c>
      <c r="D105">
        <f t="shared" ref="D105" si="22">D104^2</f>
        <v>27.040000000000003</v>
      </c>
    </row>
    <row r="106" spans="1:9" x14ac:dyDescent="0.2">
      <c r="A106" t="s">
        <v>47</v>
      </c>
      <c r="B106">
        <f>SUM(B105:D105)</f>
        <v>40.159999999999997</v>
      </c>
    </row>
    <row r="107" spans="1:9" x14ac:dyDescent="0.2">
      <c r="A107" t="s">
        <v>50</v>
      </c>
      <c r="B107">
        <f>SUM(B104:D104)</f>
        <v>9.1999999999999993</v>
      </c>
    </row>
    <row r="110" spans="1:9" x14ac:dyDescent="0.2">
      <c r="A110" s="6" t="s">
        <v>56</v>
      </c>
    </row>
    <row r="111" spans="1:9" x14ac:dyDescent="0.2">
      <c r="A111" t="s">
        <v>46</v>
      </c>
      <c r="B111" s="2">
        <f>B$92-B89</f>
        <v>6.5</v>
      </c>
      <c r="C111" s="2">
        <f t="shared" ref="C111:D111" si="23">C$92-C89</f>
        <v>5.8</v>
      </c>
      <c r="D111" s="2">
        <f t="shared" si="23"/>
        <v>4</v>
      </c>
      <c r="G111" t="s">
        <v>43</v>
      </c>
      <c r="H111" t="s">
        <v>44</v>
      </c>
      <c r="I111" t="s">
        <v>45</v>
      </c>
    </row>
    <row r="112" spans="1:9" x14ac:dyDescent="0.2">
      <c r="A112" t="s">
        <v>48</v>
      </c>
      <c r="B112">
        <f>ABS(B111)</f>
        <v>6.5</v>
      </c>
      <c r="C112">
        <f t="shared" ref="C112" si="24">ABS(C111)</f>
        <v>5.8</v>
      </c>
      <c r="D112">
        <f t="shared" ref="D112" si="25">ABS(D111)</f>
        <v>4</v>
      </c>
      <c r="G112">
        <f>SQRT(B114)</f>
        <v>9.5859271852022747</v>
      </c>
      <c r="H112">
        <f>B115</f>
        <v>16.3</v>
      </c>
      <c r="I112">
        <f>MAX(B112:D112)</f>
        <v>6.5</v>
      </c>
    </row>
    <row r="113" spans="1:4" x14ac:dyDescent="0.2">
      <c r="A113" t="s">
        <v>49</v>
      </c>
      <c r="B113">
        <f>B112^2</f>
        <v>42.25</v>
      </c>
      <c r="C113">
        <f t="shared" ref="C113" si="26">C112^2</f>
        <v>33.64</v>
      </c>
      <c r="D113">
        <f t="shared" ref="D113" si="27">D112^2</f>
        <v>16</v>
      </c>
    </row>
    <row r="114" spans="1:4" x14ac:dyDescent="0.2">
      <c r="A114" t="s">
        <v>47</v>
      </c>
      <c r="B114">
        <f>SUM(B113:D113)</f>
        <v>91.89</v>
      </c>
    </row>
    <row r="115" spans="1:4" x14ac:dyDescent="0.2">
      <c r="A115" t="s">
        <v>50</v>
      </c>
      <c r="B115">
        <f>SUM(B112:D112)</f>
        <v>16.3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Ямбушев Артём Дамирович</dc:creator>
  <cp:lastModifiedBy>Ямбушев Артём Дамирович</cp:lastModifiedBy>
  <dcterms:created xsi:type="dcterms:W3CDTF">2026-06-06T14:55:34Z</dcterms:created>
  <dcterms:modified xsi:type="dcterms:W3CDTF">2026-06-08T08:31:46Z</dcterms:modified>
</cp:coreProperties>
</file>